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40"/>
  </bookViews>
  <sheets>
    <sheet name="电价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<sst xmlns="http://schemas.openxmlformats.org/spreadsheetml/2006/main" count="100" uniqueCount="42">
  <si>
    <t>月份</t>
  </si>
  <si>
    <t>月竞</t>
  </si>
  <si>
    <t>月内挂牌</t>
  </si>
  <si>
    <t>月度绿电双边协商</t>
  </si>
  <si>
    <t>月内绿电双边协商</t>
  </si>
  <si>
    <t>国网代理购电价格</t>
  </si>
  <si>
    <t>交易公告</t>
  </si>
  <si>
    <t>交易结果</t>
  </si>
  <si>
    <t>同期预估数据</t>
  </si>
  <si>
    <t>上报分月计划</t>
  </si>
  <si>
    <t>上报优先成交发电量</t>
  </si>
  <si>
    <t>国网代理采购电量</t>
  </si>
  <si>
    <t>月竞空间</t>
  </si>
  <si>
    <t>有效竞争空间</t>
  </si>
  <si>
    <t>有效竞争上限</t>
  </si>
  <si>
    <t>发电侧上限</t>
  </si>
  <si>
    <t>供需比</t>
  </si>
  <si>
    <t>参加企业</t>
  </si>
  <si>
    <t>申报量（亿千瓦时）</t>
  </si>
  <si>
    <t>成交量（亿千瓦时）</t>
  </si>
  <si>
    <t>成交价（元/兆瓦时）</t>
  </si>
  <si>
    <t>边际报价（元/兆瓦时）</t>
  </si>
  <si>
    <t>售电侧挂牌量（亿千瓦时）</t>
  </si>
  <si>
    <t>售电侧成交量（亿千瓦时）</t>
  </si>
  <si>
    <t>购电侧挂牌量（亿千瓦时）</t>
  </si>
  <si>
    <t>购电侧成交量（亿千瓦时）</t>
  </si>
  <si>
    <t>成交电量</t>
  </si>
  <si>
    <t>交易均价</t>
  </si>
  <si>
    <t>5%增率</t>
  </si>
  <si>
    <t>10%增率</t>
  </si>
  <si>
    <t>5&amp;增率</t>
  </si>
  <si>
    <t>发电企业</t>
  </si>
  <si>
    <t>售电公司</t>
  </si>
  <si>
    <t>一类用户</t>
  </si>
  <si>
    <t>合计</t>
  </si>
  <si>
    <t>购方</t>
  </si>
  <si>
    <t>集中竞价</t>
  </si>
  <si>
    <t>=B5*1.05</t>
  </si>
  <si>
    <t>=B5*1.1</t>
  </si>
  <si>
    <t>集中竞价交易结果公示</t>
  </si>
  <si>
    <t>月内连续交易</t>
  </si>
  <si>
    <t>绿色双边协商交易结果公示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</si>
</sst>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5">
    <font>
      <sz val="11"/>
      <color theme="1"/>
      <name val="Calibri"/>
      <charset val="134"/>
      <scheme val="minor"/>
    </font>
    <font>
      <b/>
      <sz val="12"/>
      <color theme="1"/>
      <name val="幼圆"/>
      <charset val="134"/>
    </font>
    <font>
      <b/>
      <sz val="14"/>
      <color theme="1"/>
      <name val="幼圆"/>
      <charset val="134"/>
    </font>
    <font>
      <b/>
      <sz val="11"/>
      <color theme="1"/>
      <name val="幼圆"/>
      <charset val="134"/>
    </font>
    <font>
      <sz val="11"/>
      <color theme="1"/>
      <name val="幼圆"/>
      <charset val="134"/>
    </font>
    <font>
      <sz val="11"/>
      <color rgb="FFFF0000"/>
      <name val="幼圆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457200</xdr:colOff>
      <xdr:row>62</xdr:row>
      <xdr:rowOff>127000</xdr:rowOff>
    </xdr:from>
    <xdr:to>
      <xdr:col>25</xdr:col>
      <xdr:colOff>533400</xdr:colOff>
      <xdr:row>69</xdr:row>
      <xdr:rowOff>101600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rcRect t="17242"/>
        <a:stretch>
          <a:fillRect/>
        </a:stretch>
      </xdr:blipFill>
      <xdr:spPr>
        <a:xfrm>
          <a:off x="15656560" y="13423900"/>
          <a:ext cx="7228840" cy="1468120"/>
        </a:xfrm>
        <a:prstGeom prst="rect">
          <a:avLst/>
        </a:prstGeom>
      </xdr:spPr>
    </xdr:pic>
    <xdr:clientData/>
  </xdr:twoCellAnchor>
  <xdr:twoCellAnchor editAs="oneCell">
    <xdr:from>
      <xdr:col>29</xdr:col>
      <xdr:colOff>685800</xdr:colOff>
      <xdr:row>61</xdr:row>
      <xdr:rowOff>152400</xdr:rowOff>
    </xdr:from>
    <xdr:to>
      <xdr:col>39</xdr:col>
      <xdr:colOff>0</xdr:colOff>
      <xdr:row>105</xdr:row>
      <xdr:rowOff>88900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614120" y="13235940"/>
          <a:ext cx="8255000" cy="9324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5"/>
  <sheetViews>
    <sheetView tabSelected="1" workbookViewId="0">
      <selection activeCell="AH5" sqref="AH5"/>
    </sheetView>
  </sheetViews>
  <sheetFormatPr defaultColWidth="11" defaultRowHeight="16.8" outlineLevelRow="4"/>
  <sheetData>
    <row r="1" ht="20.4" spans="1:50">
      <c r="A1" s="1" t="s">
        <v>0</v>
      </c>
      <c r="B1" s="2" t="s">
        <v>1</v>
      </c>
      <c r="C1" s="3"/>
      <c r="D1" s="3"/>
      <c r="E1" s="2"/>
      <c r="F1" s="2"/>
      <c r="G1" s="2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4" t="s">
        <v>3</v>
      </c>
      <c r="AU1" s="4"/>
      <c r="AV1" s="4" t="s">
        <v>4</v>
      </c>
      <c r="AW1" s="4"/>
      <c r="AX1" s="4" t="s">
        <v>5</v>
      </c>
    </row>
    <row r="2" ht="17.6" spans="1:50">
      <c r="A2" s="1"/>
      <c r="B2" s="1" t="s">
        <v>6</v>
      </c>
      <c r="C2" s="1"/>
      <c r="D2" s="1"/>
      <c r="E2" s="1"/>
      <c r="F2" s="1"/>
      <c r="G2" s="1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7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4"/>
      <c r="AU2" s="4"/>
      <c r="AV2" s="4"/>
      <c r="AW2" s="4"/>
      <c r="AX2" s="4"/>
    </row>
    <row r="3" spans="1:50">
      <c r="A3" s="1"/>
      <c r="B3" s="6" t="s">
        <v>8</v>
      </c>
      <c r="C3" s="7"/>
      <c r="D3" s="7"/>
      <c r="E3" s="6" t="s">
        <v>9</v>
      </c>
      <c r="F3" s="8" t="s">
        <v>10</v>
      </c>
      <c r="G3" s="6" t="s">
        <v>11</v>
      </c>
      <c r="H3" s="6" t="s">
        <v>12</v>
      </c>
      <c r="I3" s="7"/>
      <c r="J3" s="7"/>
      <c r="K3" s="6" t="s">
        <v>13</v>
      </c>
      <c r="L3" s="7"/>
      <c r="M3" s="7"/>
      <c r="N3" s="6" t="s">
        <v>14</v>
      </c>
      <c r="O3" s="6" t="s">
        <v>15</v>
      </c>
      <c r="P3" s="6" t="s">
        <v>16</v>
      </c>
      <c r="Q3" s="7"/>
      <c r="R3" s="7"/>
      <c r="S3" s="6" t="s">
        <v>17</v>
      </c>
      <c r="T3" s="6"/>
      <c r="U3" s="6"/>
      <c r="V3" s="6" t="s">
        <v>18</v>
      </c>
      <c r="W3" s="6"/>
      <c r="X3" s="6"/>
      <c r="Y3" s="6" t="s">
        <v>19</v>
      </c>
      <c r="Z3" s="6"/>
      <c r="AA3" s="6"/>
      <c r="AB3" s="6" t="s">
        <v>20</v>
      </c>
      <c r="AC3" s="6" t="s">
        <v>21</v>
      </c>
      <c r="AD3" s="6"/>
      <c r="AE3" s="6" t="s">
        <v>17</v>
      </c>
      <c r="AF3" s="6"/>
      <c r="AG3" s="6"/>
      <c r="AH3" s="6" t="s">
        <v>22</v>
      </c>
      <c r="AI3" s="6"/>
      <c r="AJ3" s="6"/>
      <c r="AK3" s="6" t="s">
        <v>23</v>
      </c>
      <c r="AL3" s="6"/>
      <c r="AM3" s="6"/>
      <c r="AN3" s="6" t="s">
        <v>24</v>
      </c>
      <c r="AO3" s="6"/>
      <c r="AP3" s="6" t="s">
        <v>25</v>
      </c>
      <c r="AQ3" s="6"/>
      <c r="AR3" s="6" t="s">
        <v>19</v>
      </c>
      <c r="AS3" s="6" t="s">
        <v>20</v>
      </c>
      <c r="AT3" s="6" t="s">
        <v>26</v>
      </c>
      <c r="AU3" s="6" t="s">
        <v>27</v>
      </c>
      <c r="AV3" s="6" t="s">
        <v>26</v>
      </c>
      <c r="AW3" s="6" t="s">
        <v>27</v>
      </c>
      <c r="AX3" s="6" t="s">
        <v>27</v>
      </c>
    </row>
    <row r="4" ht="17" spans="1:50">
      <c r="A4" s="1"/>
      <c r="B4" s="6">
        <v>2024</v>
      </c>
      <c r="C4" s="7" t="s">
        <v>28</v>
      </c>
      <c r="D4" s="7" t="s">
        <v>29</v>
      </c>
      <c r="E4" s="6"/>
      <c r="F4" s="9"/>
      <c r="G4" s="6"/>
      <c r="H4" s="6"/>
      <c r="I4" s="7" t="s">
        <v>30</v>
      </c>
      <c r="J4" s="7" t="s">
        <v>29</v>
      </c>
      <c r="K4" s="6"/>
      <c r="L4" s="7" t="s">
        <v>30</v>
      </c>
      <c r="M4" s="7" t="s">
        <v>29</v>
      </c>
      <c r="N4" s="6"/>
      <c r="O4" s="6"/>
      <c r="P4" s="6"/>
      <c r="Q4" s="7" t="s">
        <v>30</v>
      </c>
      <c r="R4" s="7" t="s">
        <v>29</v>
      </c>
      <c r="S4" s="6" t="s">
        <v>31</v>
      </c>
      <c r="T4" s="6" t="s">
        <v>32</v>
      </c>
      <c r="U4" s="6" t="s">
        <v>33</v>
      </c>
      <c r="V4" s="6" t="s">
        <v>31</v>
      </c>
      <c r="W4" s="6" t="s">
        <v>32</v>
      </c>
      <c r="X4" s="6" t="s">
        <v>33</v>
      </c>
      <c r="Y4" s="6" t="s">
        <v>32</v>
      </c>
      <c r="Z4" s="6" t="s">
        <v>33</v>
      </c>
      <c r="AA4" s="6" t="s">
        <v>34</v>
      </c>
      <c r="AB4" s="6"/>
      <c r="AC4" s="6" t="s">
        <v>31</v>
      </c>
      <c r="AD4" s="6" t="s">
        <v>35</v>
      </c>
      <c r="AE4" s="6" t="s">
        <v>31</v>
      </c>
      <c r="AF4" s="6" t="s">
        <v>32</v>
      </c>
      <c r="AG4" s="6" t="s">
        <v>33</v>
      </c>
      <c r="AH4" s="6" t="s">
        <v>31</v>
      </c>
      <c r="AI4" s="6" t="s">
        <v>32</v>
      </c>
      <c r="AJ4" s="6" t="s">
        <v>33</v>
      </c>
      <c r="AK4" s="6" t="s">
        <v>31</v>
      </c>
      <c r="AL4" s="6" t="s">
        <v>32</v>
      </c>
      <c r="AM4" s="6" t="s">
        <v>33</v>
      </c>
      <c r="AN4" s="6" t="s">
        <v>32</v>
      </c>
      <c r="AO4" s="6" t="s">
        <v>33</v>
      </c>
      <c r="AP4" s="6" t="s">
        <v>32</v>
      </c>
      <c r="AQ4" s="6" t="s">
        <v>33</v>
      </c>
      <c r="AR4" s="6"/>
      <c r="AS4" s="6"/>
      <c r="AT4" s="6"/>
      <c r="AU4" s="6"/>
      <c r="AV4" s="6"/>
      <c r="AW4" s="6"/>
      <c r="AX4" s="6"/>
    </row>
    <row r="5" ht="17.6" spans="1:50">
      <c r="A5" s="10">
        <v>1</v>
      </c>
      <c r="B5" s="11" t="s">
        <v>36</v>
      </c>
      <c r="C5" s="12" t="s">
        <v>37</v>
      </c>
      <c r="D5" s="12" t="s">
        <v>38</v>
      </c>
      <c r="E5" s="13">
        <v>262.22</v>
      </c>
      <c r="F5" s="12"/>
      <c r="G5" s="12">
        <v>19.94</v>
      </c>
      <c r="H5" s="12" t="e">
        <f>B5-E5</f>
        <v>#VALUE!</v>
      </c>
      <c r="I5" s="12" t="e">
        <f>C5-E5</f>
        <v>#VALUE!</v>
      </c>
      <c r="J5" s="12" t="e">
        <f>D5-E5</f>
        <v>#VALUE!</v>
      </c>
      <c r="K5" s="12" t="e">
        <f>H5-F5+G5</f>
        <v>#VALUE!</v>
      </c>
      <c r="L5" s="12" t="e">
        <f>I5-F5+G5</f>
        <v>#VALUE!</v>
      </c>
      <c r="M5" s="12" t="e">
        <f>J5-F5+G5</f>
        <v>#VALUE!</v>
      </c>
      <c r="N5" s="12">
        <v>35</v>
      </c>
      <c r="O5" s="12">
        <v>66</v>
      </c>
      <c r="P5" s="12" t="e">
        <f t="shared" ref="P5" si="0">K5/N5</f>
        <v>#VALUE!</v>
      </c>
      <c r="Q5" s="12" t="e">
        <f t="shared" ref="Q5" si="1">L5/N5</f>
        <v>#VALUE!</v>
      </c>
      <c r="R5" s="12" t="e">
        <f t="shared" ref="R5" si="2">M5/N5</f>
        <v>#VALUE!</v>
      </c>
      <c r="S5" s="11" t="s">
        <v>39</v>
      </c>
      <c r="T5" s="11" t="s">
        <v>39</v>
      </c>
      <c r="U5" s="11" t="s">
        <v>39</v>
      </c>
      <c r="V5" s="11" t="s">
        <v>39</v>
      </c>
      <c r="W5" s="11" t="s">
        <v>39</v>
      </c>
      <c r="X5" s="11" t="s">
        <v>39</v>
      </c>
      <c r="Y5" s="11" t="s">
        <v>39</v>
      </c>
      <c r="Z5" s="11" t="s">
        <v>39</v>
      </c>
      <c r="AA5" s="11" t="s">
        <v>39</v>
      </c>
      <c r="AB5" s="11" t="s">
        <v>39</v>
      </c>
      <c r="AC5" s="11" t="s">
        <v>39</v>
      </c>
      <c r="AD5" s="11" t="s">
        <v>39</v>
      </c>
      <c r="AE5" s="11" t="s">
        <v>40</v>
      </c>
      <c r="AF5" s="11" t="s">
        <v>40</v>
      </c>
      <c r="AG5" s="11" t="s">
        <v>40</v>
      </c>
      <c r="AH5" s="11" t="s">
        <v>40</v>
      </c>
      <c r="AI5" s="11" t="s">
        <v>40</v>
      </c>
      <c r="AJ5" s="11" t="s">
        <v>40</v>
      </c>
      <c r="AK5" s="11" t="s">
        <v>40</v>
      </c>
      <c r="AL5" s="11" t="s">
        <v>40</v>
      </c>
      <c r="AM5" s="11" t="s">
        <v>40</v>
      </c>
      <c r="AN5" s="11" t="s">
        <v>40</v>
      </c>
      <c r="AO5" s="11" t="s">
        <v>40</v>
      </c>
      <c r="AP5" s="11" t="s">
        <v>40</v>
      </c>
      <c r="AQ5" s="11" t="s">
        <v>40</v>
      </c>
      <c r="AR5" s="11" t="s">
        <v>40</v>
      </c>
      <c r="AS5" s="11" t="s">
        <v>40</v>
      </c>
      <c r="AT5" s="11" t="s">
        <v>41</v>
      </c>
      <c r="AU5" s="11" t="s">
        <v>41</v>
      </c>
      <c r="AV5" s="11" t="s">
        <v>41</v>
      </c>
      <c r="AW5" s="11" t="s">
        <v>41</v>
      </c>
      <c r="AX5" s="11">
        <v>0.46</v>
      </c>
    </row>
  </sheetData>
  <mergeCells count="34">
    <mergeCell ref="B1:AD1"/>
    <mergeCell ref="B2:R2"/>
    <mergeCell ref="S2:AD2"/>
    <mergeCell ref="B3:D3"/>
    <mergeCell ref="H3:J3"/>
    <mergeCell ref="K3:M3"/>
    <mergeCell ref="P3:R3"/>
    <mergeCell ref="S3:U3"/>
    <mergeCell ref="V3:X3"/>
    <mergeCell ref="Y3:AA3"/>
    <mergeCell ref="AC3:AD3"/>
    <mergeCell ref="AE3:AG3"/>
    <mergeCell ref="AH3:AJ3"/>
    <mergeCell ref="AK3:AM3"/>
    <mergeCell ref="AN3:AO3"/>
    <mergeCell ref="AP3:AQ3"/>
    <mergeCell ref="A1:A4"/>
    <mergeCell ref="E3:E4"/>
    <mergeCell ref="F3:F4"/>
    <mergeCell ref="G3:G4"/>
    <mergeCell ref="N3:N4"/>
    <mergeCell ref="O3:O4"/>
    <mergeCell ref="AB3:AB4"/>
    <mergeCell ref="AR3:AR4"/>
    <mergeCell ref="AS3:AS4"/>
    <mergeCell ref="AT3:AT4"/>
    <mergeCell ref="AU3:AU4"/>
    <mergeCell ref="AV3:AV4"/>
    <mergeCell ref="AW3:AW4"/>
    <mergeCell ref="AX1:AX2"/>
    <mergeCell ref="AX3:AX4"/>
    <mergeCell ref="AE1:AS2"/>
    <mergeCell ref="AT1:AU2"/>
    <mergeCell ref="AV1:AW2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</dc:creator>
  <cp:lastModifiedBy>Mr.䵍</cp:lastModifiedBy>
  <dcterms:created xsi:type="dcterms:W3CDTF">2025-06-23T23:16:00Z</dcterms:created>
  <dcterms:modified xsi:type="dcterms:W3CDTF">2025-12-14T22:54:11Z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681D2D77A5B75E8BBBB23E69EA2F3B14_43</vt:lpwstr>
  </property>
  <property fmtid="{D5CDD505-2E9C-101B-9397-08002B2CF9AE}" pid="3" name="KSOProductBuildVer">
    <vt:lpwstr>1033-12.1.23540.23540</vt:lpwstr>
  </property>
</Properties>
</file>